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éparation" sheetId="2" r:id="rId6"/>
    <sheet state="visible" name="Fiche imprimable" sheetId="3" r:id="rId7"/>
  </sheets>
  <definedNames/>
  <calcPr/>
</workbook>
</file>

<file path=xl/sharedStrings.xml><?xml version="1.0" encoding="utf-8"?>
<sst xmlns="http://schemas.openxmlformats.org/spreadsheetml/2006/main" count="59" uniqueCount="48">
  <si>
    <t>Submission ID</t>
  </si>
  <si>
    <t>Choix de la réponse Tally — DÉMONSTRATION</t>
  </si>
  <si>
    <t>Respondent ID</t>
  </si>
  <si>
    <t>Submitted at</t>
  </si>
  <si>
    <t>Nom fictif</t>
  </si>
  <si>
    <t>Ligne de réponse à préparer (Sheet1)</t>
  </si>
  <si>
    <t>Téléphone fictif</t>
  </si>
  <si>
    <t>Adresse fictive à Aylmer</t>
  </si>
  <si>
    <t>Jour préféré — exemple, sans réservation</t>
  </si>
  <si>
    <t>Autres articles — liste fictive (facultatif)</t>
  </si>
  <si>
    <t>Lait 2 % — bouteilles de 2 L</t>
  </si>
  <si>
    <t>Bananes — unités</t>
  </si>
  <si>
    <t>Pain de blé entier — pains de 675 g</t>
  </si>
  <si>
    <t>1. Repérez une réponse dans Sheet1; notez son numéro de ligne.</t>
  </si>
  <si>
    <t>Œufs — boîtes de 12</t>
  </si>
  <si>
    <t>Pommes — sacs de 1,36 kg</t>
  </si>
  <si>
    <t>2. Modifiez uniquement B3 ci-dessus. La ligne 1 contient les titres, pas une commande.</t>
  </si>
  <si>
    <t>Bœuf haché — portions de 500 g</t>
  </si>
  <si>
    <t>3. Ouvrez Fiche imprimable, vérifiez la référence et imprimez cette feuille uniquement.</t>
  </si>
  <si>
    <t>Si un produit est indisponible — exemple</t>
  </si>
  <si>
    <t>4. Réglages impression : portrait, ajuster à la largeur; vérifier toutes les pages.</t>
  </si>
  <si>
    <t>1W0bOAp</t>
  </si>
  <si>
    <t>A7gNa0W</t>
  </si>
  <si>
    <t>Ne triez pas et ne modifiez pas Sheet1 pendant la préparation. Un seul préparateur à la fois.</t>
  </si>
  <si>
    <t>Ne changez pas B3 pendant une impression. Le suivi est manuscrit, non synchronisé.</t>
  </si>
  <si>
    <t>Données fictives uniquement. La feuille reste privée; aucune publication Web.</t>
  </si>
  <si>
    <t>Camille Exemple</t>
  </si>
  <si>
    <t>123 rue du jour</t>
  </si>
  <si>
    <t>2 pommes, 1 pain, 3 bananes</t>
  </si>
  <si>
    <t>Me téléphoner avant de remplacer</t>
  </si>
  <si>
    <t>9N065WV</t>
  </si>
  <si>
    <t>yPQrk4g</t>
  </si>
  <si>
    <t>julie</t>
  </si>
  <si>
    <t>123 rue rouge</t>
  </si>
  <si>
    <t>pommes bananes pain biere</t>
  </si>
  <si>
    <t>yXA0bK4</t>
  </si>
  <si>
    <t>aQLXXzB</t>
  </si>
  <si>
    <t>judith</t>
  </si>
  <si>
    <t>124 rue bleu</t>
  </si>
  <si>
    <t>pain bananes bière jus d'orange</t>
  </si>
  <si>
    <t>zEBOY6g</t>
  </si>
  <si>
    <t>gbPBYgJ</t>
  </si>
  <si>
    <t>Jonathan</t>
  </si>
  <si>
    <t>500 g de bœuf haché
2 steaks de faux-filet
1 beurre salé de 454 g</t>
  </si>
  <si>
    <t>rD9Xz7v</t>
  </si>
  <si>
    <t>marius</t>
  </si>
  <si>
    <t>500 g de bœuf haché
2 steaks de faux-filet
1 beurre salé de 454 g
fruits
biere</t>
  </si>
  <si>
    <t>Ne pas remplacer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</si>
</sst>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2.13"/>
    <col customWidth="1" min="3" max="3" width="16.5"/>
    <col customWidth="1" min="4" max="4" width="13.5"/>
    <col customWidth="1" min="5" max="5" width="12.25"/>
    <col customWidth="1" min="6" max="6" width="18.88"/>
    <col customWidth="1" min="7" max="7" width="32.0"/>
    <col customWidth="1" min="8" max="8" width="29.63"/>
    <col customWidth="1" min="9" max="9" width="21.75"/>
    <col customWidth="1" min="10" max="10" width="14.63"/>
    <col customWidth="1" min="11" max="11" width="27.5"/>
    <col customWidth="1" min="12" max="12" width="16.63"/>
    <col customWidth="1" min="13" max="13" width="21.88"/>
    <col customWidth="1" min="14" max="14" width="25.5"/>
    <col customWidth="1" min="15" max="15" width="31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17</v>
      </c>
      <c r="O1" s="1" t="s">
        <v>19</v>
      </c>
    </row>
    <row r="2">
      <c r="A2" s="1" t="s">
        <v>21</v>
      </c>
      <c r="B2" s="1" t="s">
        <v>22</v>
      </c>
      <c r="C2" s="3">
        <v>46319.518113425926</v>
      </c>
      <c r="D2" s="1" t="s">
        <v>26</v>
      </c>
      <c r="E2" s="1">
        <v>8.195556666E9</v>
      </c>
      <c r="F2" s="1" t="s">
        <v>27</v>
      </c>
      <c r="G2" s="4">
        <v>46321.0</v>
      </c>
      <c r="H2" s="1" t="s">
        <v>28</v>
      </c>
      <c r="O2" s="1" t="s">
        <v>29</v>
      </c>
    </row>
    <row r="3">
      <c r="A3" s="1" t="s">
        <v>30</v>
      </c>
      <c r="B3" s="1" t="s">
        <v>31</v>
      </c>
      <c r="C3" s="3">
        <v>46319.52474537037</v>
      </c>
      <c r="D3" s="1" t="s">
        <v>32</v>
      </c>
      <c r="E3" s="1">
        <v>5.142225555E9</v>
      </c>
      <c r="F3" s="1" t="s">
        <v>33</v>
      </c>
      <c r="G3" s="4">
        <v>46322.0</v>
      </c>
      <c r="H3" s="1" t="s">
        <v>34</v>
      </c>
      <c r="O3" s="1" t="s">
        <v>29</v>
      </c>
    </row>
    <row r="4">
      <c r="A4" s="1" t="s">
        <v>35</v>
      </c>
      <c r="B4" s="1" t="s">
        <v>36</v>
      </c>
      <c r="C4" s="3">
        <v>46319.538877314815</v>
      </c>
      <c r="D4" s="1" t="s">
        <v>37</v>
      </c>
      <c r="E4" s="1">
        <v>8.195556666E9</v>
      </c>
      <c r="F4" s="1" t="s">
        <v>38</v>
      </c>
      <c r="G4" s="4">
        <v>46322.0</v>
      </c>
      <c r="H4" s="1" t="s">
        <v>39</v>
      </c>
      <c r="I4" s="5">
        <v>2.0</v>
      </c>
      <c r="J4" s="5">
        <v>1.0</v>
      </c>
      <c r="K4" s="5">
        <v>4.0</v>
      </c>
      <c r="L4" s="5">
        <v>1.0</v>
      </c>
      <c r="O4" s="1" t="s">
        <v>29</v>
      </c>
    </row>
    <row r="5">
      <c r="A5" s="1" t="s">
        <v>40</v>
      </c>
      <c r="B5" s="1" t="s">
        <v>31</v>
      </c>
      <c r="C5" s="3">
        <v>46320.888032407405</v>
      </c>
      <c r="D5" s="1" t="s">
        <v>32</v>
      </c>
      <c r="E5" s="1">
        <v>5.142225555E9</v>
      </c>
      <c r="F5" s="1" t="s">
        <v>33</v>
      </c>
      <c r="G5" s="4">
        <v>46322.0</v>
      </c>
      <c r="I5" s="5">
        <v>2.0</v>
      </c>
      <c r="M5" s="5">
        <v>1.0</v>
      </c>
      <c r="O5" s="1" t="s">
        <v>29</v>
      </c>
    </row>
    <row r="6">
      <c r="A6" s="1" t="s">
        <v>41</v>
      </c>
      <c r="B6" s="1" t="s">
        <v>31</v>
      </c>
      <c r="C6" s="3">
        <v>46322.50262731482</v>
      </c>
      <c r="D6" s="1" t="s">
        <v>42</v>
      </c>
      <c r="E6" s="1">
        <v>8.195556666E9</v>
      </c>
      <c r="F6" s="1" t="s">
        <v>38</v>
      </c>
      <c r="G6" s="4">
        <v>46323.0</v>
      </c>
      <c r="H6" s="1" t="s">
        <v>43</v>
      </c>
      <c r="O6" s="1" t="s">
        <v>29</v>
      </c>
    </row>
    <row r="7">
      <c r="A7" s="1" t="s">
        <v>44</v>
      </c>
      <c r="B7" s="1" t="s">
        <v>31</v>
      </c>
      <c r="C7" s="3">
        <v>46322.54649305555</v>
      </c>
      <c r="D7" s="1" t="s">
        <v>45</v>
      </c>
      <c r="E7" s="1">
        <v>8.195556666E9</v>
      </c>
      <c r="F7" s="1" t="s">
        <v>33</v>
      </c>
      <c r="G7" s="4">
        <v>46324.0</v>
      </c>
      <c r="H7" s="1" t="s">
        <v>46</v>
      </c>
      <c r="I7" s="5">
        <v>2.0</v>
      </c>
      <c r="J7" s="5">
        <v>4.0</v>
      </c>
      <c r="M7" s="5">
        <v>5.0</v>
      </c>
      <c r="O7" s="1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</cols>
  <sheetData>
    <row r="1">
      <c r="A1" s="1" t="s">
        <v>1</v>
      </c>
    </row>
    <row r="3">
      <c r="A3" s="1" t="s">
        <v>5</v>
      </c>
      <c r="B3" s="2">
        <v>4.0</v>
      </c>
    </row>
    <row r="5">
      <c r="A5" s="1" t="s">
        <v>13</v>
      </c>
    </row>
    <row r="6">
      <c r="A6" s="1" t="s">
        <v>16</v>
      </c>
    </row>
    <row r="7">
      <c r="A7" s="1" t="s">
        <v>18</v>
      </c>
    </row>
    <row r="8">
      <c r="A8" s="1" t="s">
        <v>20</v>
      </c>
    </row>
    <row r="9">
      <c r="A9" s="1" t="s">
        <v>23</v>
      </c>
    </row>
    <row r="10">
      <c r="A10" s="1" t="s">
        <v>24</v>
      </c>
    </row>
    <row r="11">
      <c r="A11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13"/>
  </cols>
  <sheetData>
    <row r="1">
      <c r="A1" s="6" t="str">
        <f>IFERROR(__xludf.DUMMYFUNCTION("LET(selected,'Préparation'!B3,IF(NOT(IFERROR(AND(ISNUMBER(selected),selected&gt;=2,selected=INT(selected),selected&lt;=ROWS(Sheet1!A:A)),FALSE)),""ERREUR : choisissez un numéro de ligne entier à partir de 2 dans Préparation!B3."",LET(field,LAMBDA(label,INDEX(Sh"&amp;"eet1!A:O,selected,MATCH(label,Sheet1!A1:O1,0))),names,VSTACK(""Lait 2 % — bouteilles de 2 L"",""Bananes — unités"",""Pain de blé entier — pains de 675 g"",""Œufs — boîtes de 12"",""Pommes — sacs de 1,36 kg"",""Bœuf haché — portions de 500 g""),quantities,"&amp;"VSTACK(field(""Lait 2 % — bouteilles de 2 L""),field(""Bananes — unités""),field(""Pain de blé entier — pains de 675 g""),field(""Œufs — boîtes de 12""),field(""Pommes — sacs de 1,36 kg""),field(""Bœuf haché — portions de 500 g"")),invalid,SUM(ARRAYFORMUL"&amp;"A(IF(quantities="""",0,IF(REGEXMATCH(quantities&amp;"""",""^[0-9]+$""),0,1)))),IF(field(""Submission ID"")="""",""ERREUR : aucune réponse sur cette ligne. Choisissez une ligne remplie dans Sheet1."",IF(invalid&gt;0,""ERREUR : quantité invalide. Vérifiez la répon"&amp;"se originale; les produits courants demandent un nombre entier positif ou zéro. Ne préparez pas cette fiche."",LET(common,ARRAYFORMULA(IF(IF(quantities="""",0,VALUE(quantities))&gt;0,quantities&amp;"" × ""&amp;names,"""")),other,field(""Autres articles — liste ficti"&amp;"ve (facultatif)""),lines,VSTACK(common,TRANSPOSE(SPLIT(IF(other="""","" "",other),CHAR(10),FALSE,TRUE))),count,SUM(ARRAYFORMULA(N(LEN(TRIM(lines))&gt;0))),VSTACK(""MARCHÉ LAFLAMME — FICHE DE PRÉPARATION"",""DÉMONSTRATION — DONNÉES FICTIVES — AUCUNE COMMANDE "&amp;"RÉELLE"",""Réponse : ""&amp;field(""Submission ID"")&amp;"" | Ligne source : ""&amp;selected,""Reçue : ""&amp;IF(ISNUMBER(field(""Submitted at"")),TEXT(field(""Submitted at""),""yyyy-mm-dd hh:mm""),field(""Submitted at"")),""Nom fictif : ""&amp;field(""Nom fictif""),""Téléph"&amp;"one fictif : ""&amp;field(""Téléphone fictif""),""Adresse fictive : ""&amp;field(""Adresse fictive à Aylmer""),""Jour souhaité (non confirmé) : ""&amp;IF(ISNUMBER(field(""Jour préféré — exemple, sans réservation"")),TEXT(field(""Jour préféré — exemple, sans réservati"&amp;"on""),""yyyy-mm-dd""),field(""Jour préféré — exemple, sans réservation"")),""Remplacements : ""&amp;field(""Si un produit est indisponible — exemple""),""Confirmer les quantités, la livraison et le paiement avant préparation."",""ARTICLES ET QUANTITÉS DEMANDÉ"&amp;"S"",IF(count=0,""ATTENTION : aucun article demandé — contactez le client avant préparation."",ARRAYFORMULA(""☐ ""&amp;FILTER(lines,LEN(TRIM(lines))&gt;0))),""MANQUANTS / SUBSTITUTIONS : ____________________________________"",""___________________________________"&amp;"___________________________"",""Confirmation client (date / initiales) : __________________________"",""☐ Confirmée   ☐ En préparation   ☐ Prête   ☐ Livrée   ☐ Annulée"",""Préparée par : __________________   Date / heure : _______________"",""Passage en c"&amp;"aisse : __________________   Total réel : __________ $"",""Livraison / remise : __________________   Initiales : ____________"",""La caisse fixe le prix final. Prix et stock non garantis."",""Suivi manuscrit uniquement. Cette fiche change avec Préparation"&amp;"!B3."",""Ne pas modifier ni trier Sheet1 pendant la préparation; vérifier la référence."")))))))"),"MARCHÉ LAFLAMME — FICHE DE PRÉPARATION")</f>
        <v>MARCHÉ LAFLAMME — FICHE DE PRÉPARATION</v>
      </c>
    </row>
    <row r="2">
      <c r="A2" s="6" t="str">
        <f>IFERROR(__xludf.DUMMYFUNCTION("""COMPUTED_VALUE"""),"DÉMONSTRATION — DONNÉES FICTIVES — AUCUNE COMMANDE RÉELLE")</f>
        <v>DÉMONSTRATION — DONNÉES FICTIVES — AUCUNE COMMANDE RÉELLE</v>
      </c>
    </row>
    <row r="3">
      <c r="A3" s="7" t="str">
        <f>IFERROR(__xludf.DUMMYFUNCTION("""COMPUTED_VALUE"""),"Réponse : yXA0bK4 | Ligne source : 4")</f>
        <v>Réponse : yXA0bK4 | Ligne source : 4</v>
      </c>
    </row>
    <row r="4">
      <c r="A4" s="7" t="str">
        <f>IFERROR(__xludf.DUMMYFUNCTION("""COMPUTED_VALUE"""),"Reçue : 2026-10-24 12:55")</f>
        <v>Reçue : 2026-10-24 12:55</v>
      </c>
    </row>
    <row r="5">
      <c r="A5" s="7" t="str">
        <f>IFERROR(__xludf.DUMMYFUNCTION("""COMPUTED_VALUE"""),"Nom fictif : judith")</f>
        <v>Nom fictif : judith</v>
      </c>
    </row>
    <row r="6">
      <c r="A6" s="7" t="str">
        <f>IFERROR(__xludf.DUMMYFUNCTION("""COMPUTED_VALUE"""),"Téléphone fictif : 8195556666")</f>
        <v>Téléphone fictif : 8195556666</v>
      </c>
    </row>
    <row r="7">
      <c r="A7" s="7" t="str">
        <f>IFERROR(__xludf.DUMMYFUNCTION("""COMPUTED_VALUE"""),"Adresse fictive : 124 rue bleu")</f>
        <v>Adresse fictive : 124 rue bleu</v>
      </c>
    </row>
    <row r="8">
      <c r="A8" s="7" t="str">
        <f>IFERROR(__xludf.DUMMYFUNCTION("""COMPUTED_VALUE"""),"Jour souhaité (non confirmé) : 2026-10-27")</f>
        <v>Jour souhaité (non confirmé) : 2026-10-27</v>
      </c>
    </row>
    <row r="9">
      <c r="A9" s="7" t="str">
        <f>IFERROR(__xludf.DUMMYFUNCTION("""COMPUTED_VALUE"""),"Remplacements : Me téléphoner avant de remplacer")</f>
        <v>Remplacements : Me téléphoner avant de remplacer</v>
      </c>
    </row>
    <row r="10">
      <c r="A10" s="7" t="str">
        <f>IFERROR(__xludf.DUMMYFUNCTION("""COMPUTED_VALUE"""),"Confirmer les quantités, la livraison et le paiement avant préparation.")</f>
        <v>Confirmer les quantités, la livraison et le paiement avant préparation.</v>
      </c>
    </row>
    <row r="11">
      <c r="A11" s="7" t="str">
        <f>IFERROR(__xludf.DUMMYFUNCTION("""COMPUTED_VALUE"""),"ARTICLES ET QUANTITÉS DEMANDÉS")</f>
        <v>ARTICLES ET QUANTITÉS DEMANDÉS</v>
      </c>
    </row>
    <row r="12">
      <c r="A12" s="7" t="str">
        <f>IFERROR(__xludf.DUMMYFUNCTION("""COMPUTED_VALUE"""),"☐ 2 × Lait 2 % — bouteilles de 2 L")</f>
        <v>☐ 2 × Lait 2 % — bouteilles de 2 L</v>
      </c>
    </row>
    <row r="13">
      <c r="A13" s="7" t="str">
        <f>IFERROR(__xludf.DUMMYFUNCTION("""COMPUTED_VALUE"""),"☐ 1 × Bananes — unités")</f>
        <v>☐ 1 × Bananes — unités</v>
      </c>
    </row>
    <row r="14">
      <c r="A14" s="7" t="str">
        <f>IFERROR(__xludf.DUMMYFUNCTION("""COMPUTED_VALUE"""),"☐ 4 × Pain de blé entier — pains de 675 g")</f>
        <v>☐ 4 × Pain de blé entier — pains de 675 g</v>
      </c>
    </row>
    <row r="15">
      <c r="A15" s="7" t="str">
        <f>IFERROR(__xludf.DUMMYFUNCTION("""COMPUTED_VALUE"""),"☐ 1 × Œufs — boîtes de 12")</f>
        <v>☐ 1 × Œufs — boîtes de 12</v>
      </c>
    </row>
    <row r="16">
      <c r="A16" s="7" t="str">
        <f>IFERROR(__xludf.DUMMYFUNCTION("""COMPUTED_VALUE"""),"☐ pain bananes bière jus d'orange")</f>
        <v>☐ pain bananes bière jus d'orange</v>
      </c>
    </row>
    <row r="17">
      <c r="A17" s="7" t="str">
        <f>IFERROR(__xludf.DUMMYFUNCTION("""COMPUTED_VALUE"""),"MANQUANTS / SUBSTITUTIONS : ____________________________________")</f>
        <v>MANQUANTS / SUBSTITUTIONS : ____________________________________</v>
      </c>
    </row>
    <row r="18">
      <c r="A18" s="7" t="str">
        <f>IFERROR(__xludf.DUMMYFUNCTION("""COMPUTED_VALUE"""),"______________________________________________________________")</f>
        <v>______________________________________________________________</v>
      </c>
    </row>
    <row r="19">
      <c r="A19" s="7" t="str">
        <f>IFERROR(__xludf.DUMMYFUNCTION("""COMPUTED_VALUE"""),"Confirmation client (date / initiales) : __________________________")</f>
        <v>Confirmation client (date / initiales) : __________________________</v>
      </c>
    </row>
    <row r="20">
      <c r="A20" s="7" t="str">
        <f>IFERROR(__xludf.DUMMYFUNCTION("""COMPUTED_VALUE"""),"☐ Confirmée   ☐ En préparation   ☐ Prête   ☐ Livrée   ☐ Annulée")</f>
        <v>☐ Confirmée   ☐ En préparation   ☐ Prête   ☐ Livrée   ☐ Annulée</v>
      </c>
    </row>
    <row r="21">
      <c r="A21" s="7" t="str">
        <f>IFERROR(__xludf.DUMMYFUNCTION("""COMPUTED_VALUE"""),"Préparée par : __________________   Date / heure : _______________")</f>
        <v>Préparée par : __________________   Date / heure : _______________</v>
      </c>
    </row>
    <row r="22">
      <c r="A22" s="7" t="str">
        <f>IFERROR(__xludf.DUMMYFUNCTION("""COMPUTED_VALUE"""),"Passage en caisse : __________________   Total réel : __________ $")</f>
        <v>Passage en caisse : __________________   Total réel : __________ $</v>
      </c>
    </row>
    <row r="23">
      <c r="A23" s="7" t="str">
        <f>IFERROR(__xludf.DUMMYFUNCTION("""COMPUTED_VALUE"""),"Livraison / remise : __________________   Initiales : ____________")</f>
        <v>Livraison / remise : __________________   Initiales : ____________</v>
      </c>
    </row>
    <row r="24">
      <c r="A24" s="7" t="str">
        <f>IFERROR(__xludf.DUMMYFUNCTION("""COMPUTED_VALUE"""),"La caisse fixe le prix final. Prix et stock non garantis.")</f>
        <v>La caisse fixe le prix final. Prix et stock non garantis.</v>
      </c>
    </row>
    <row r="25">
      <c r="A25" s="7" t="str">
        <f>IFERROR(__xludf.DUMMYFUNCTION("""COMPUTED_VALUE"""),"Suivi manuscrit uniquement. Cette fiche change avec Préparation!B3.")</f>
        <v>Suivi manuscrit uniquement. Cette fiche change avec Préparation!B3.</v>
      </c>
    </row>
    <row r="26">
      <c r="A26" s="7" t="str">
        <f>IFERROR(__xludf.DUMMYFUNCTION("""COMPUTED_VALUE"""),"Ne pas modifier ni trier Sheet1 pendant la préparation; vérifier la référence.")</f>
        <v>Ne pas modifier ni trier Sheet1 pendant la préparation; vérifier la référence.</v>
      </c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